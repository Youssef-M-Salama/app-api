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yled Dataset" sheetId="1" r:id="rId4"/>
  </sheets>
  <definedNames>
    <definedName hidden="1" localSheetId="0" name="_xlnm._FilterDatabase">'Styled Dataset'!$A$1:$H$101</definedName>
  </definedNames>
  <calcPr/>
  <extLst>
    <ext uri="GoogleSheetsCustomDataVersion2">
      <go:sheetsCustomData xmlns:go="http://customooxmlschemas.google.com/" r:id="rId5" roundtripDataChecksum="esSbmm2FEXo/5Kuz76tziguXUJDu7WpdD9Ao+GaFz+U="/>
    </ext>
  </extLst>
</workbook>
</file>

<file path=xl/sharedStrings.xml><?xml version="1.0" encoding="utf-8"?>
<sst xmlns="http://schemas.openxmlformats.org/spreadsheetml/2006/main" count="287" uniqueCount="134">
  <si>
    <t>Type</t>
  </si>
  <si>
    <t>Name</t>
  </si>
  <si>
    <t>Description:-</t>
  </si>
  <si>
    <t>Image</t>
  </si>
  <si>
    <t>Owner</t>
  </si>
  <si>
    <t>Quantity</t>
  </si>
  <si>
    <t>Unit</t>
  </si>
  <si>
    <t>charity</t>
  </si>
  <si>
    <t>جمعية النور الخيرية</t>
  </si>
  <si>
    <t>جمعية خيرية تعمل على دعم الأسر الأكثر احتياجاً من خلال توفير الغذاء والملابس وتنظيم حملات موسمية للمساعدات الإنسانية داخل المجتمع. كما تعمل الجمعية على تنظيم حملات موسمية لدعم الأسر الأكثر احتياجاً، وتسعى إلى توفير بيئة أفضل للمجتمع من خلال المبادرات التطوعية والتكافل الاجتماعي.</t>
  </si>
  <si>
    <t>post</t>
  </si>
  <si>
    <t>حملة أرز</t>
  </si>
  <si>
    <t>إعلان عن حملة لجمع وتوفير الأرز للأسر المحتاجة بهدف دعم الأمن الغذائي وتخفيف العبء عن الفئات الفقيرة. تهدف هذه المبادرة إلى تخفيف الأعباء المعيشية عن الأسر المحتاجة وتوفير الاحتياجات الأساسية لهم بشكل منتظم وآمن.</t>
  </si>
  <si>
    <t>طن</t>
  </si>
  <si>
    <t>حملة سكر</t>
  </si>
  <si>
    <t>مبادرة إنسانية لتوفير السكر وتوزيعه على الأسر المحتاجة ضمن برنامج دعم غذائي مستمر. تهدف هذه المبادرة إلى تخفيف الأعباء المعيشية عن الأسر المحتاجة وتوفير الاحتياجات الأساسية لهم بشكل منتظم وآمن.</t>
  </si>
  <si>
    <t>كجم</t>
  </si>
  <si>
    <t>جمعية الأمل</t>
  </si>
  <si>
    <t>جمعية تهدف إلى تحسين حياة الأسر الفقيرة عبر تقديم مساعدات غذائية وطبية ودعم حالات الطوارئ بشكل مستمر. كما تعمل الجمعية على تنظيم حملات موسمية لدعم الأسر الأكثر احتياجاً، وتسعى إلى توفير بيئة أفضل للمجتمع من خلال المبادرات التطوعية والتكافل الاجتماعي.</t>
  </si>
  <si>
    <t>سلال غذائية</t>
  </si>
  <si>
    <t>مشروع لتجهيز سلال غذائية متكاملة تحتوي على مواد أساسية لدعم الأسر الفقيرة. وتشمل (أرز، سكر، مكرونة، زيت، شاي، وصلصة لتخفيف الأعباء وتوفير الاحتياجات الأساسية).</t>
  </si>
  <si>
    <t>صندوق</t>
  </si>
  <si>
    <t>ملابس شتوية</t>
  </si>
  <si>
    <t>حملة لتوفير ملابس شتوية للأسر المحتاجة لمساعدتهم في مواجهة برودة الشتاء. تهدف هذه المبادرة إلى تخفيف الأعباء المعيشية عن الأسر المحتاجة وتوفير الاحتياجات الأساسية لهم بشكل منتظم وآمن.</t>
  </si>
  <si>
    <t>قطعه</t>
  </si>
  <si>
    <t>جمعية الحياة</t>
  </si>
  <si>
    <t>جمعية إنسانية تهدف إلى تقديم الدعم للفئات الضعيفة من خلال برامج غذائية وتعليمية ومبادرات مجتمعية. كما تعمل الجمعية على تنظيم حملات موسمية لدعم الأسر الأكثر احتياجاً، وتسعى إلى توفير بيئة أفضل للمجتمع من خلال المبادرات التطوعية والتكافل الاجتماعي.</t>
  </si>
  <si>
    <t>بطاطين</t>
  </si>
  <si>
    <t>مبادرة إنسانية لتوزيع بطاطين على الأسر الفقيرة لتوفير الدفء خلال فصل الشتاء. تهدف هذه المبادرة إلى تخفيف الأعباء المعيشية عن الأسر المحتاجة وتوفير الاحتياجات الأساسية لهم بشكل منتظم وآمن.</t>
  </si>
  <si>
    <t>مساعدات طبية</t>
  </si>
  <si>
    <t>تجهيز وتوزيع مستلزمات طبية أساسية لدعم الحالات المحتاجة والرعاية الصحية الأولية. تهدف هذه المبادرة إلى تخفيف الأعباء المعيشية عن الأسر المحتاجة وتوفير الاحتياجات الأساسية لهم بشكل منتظم وآمن.</t>
  </si>
  <si>
    <t>علبه</t>
  </si>
  <si>
    <t>جمعية الرحمة</t>
  </si>
  <si>
    <t>جمعية تطوعية تركز على توزيع السلال الغذائية للأسر المحتاجة مع تنفيذ حملات خيرية موسمية. كما تعمل الجمعية على تنظيم حملات موسمية لدعم الأسر الأكثر احتياجاً، وتسعى إلى توفير بيئة أفضل للمجتمع من خلال المبادرات التطوعية والتكافل الاجتماعي.</t>
  </si>
  <si>
    <t>زيت طعام</t>
  </si>
  <si>
    <t>حملة لتوفير زيت الطعام للأسر المحتاجة ضمن سلة غذائية متكاملة. تهدف هذه المبادرة إلى تخفيف الأعباء المعيشية عن الأسر المحتاجة وتوفير الاحتياجات الأساسية لهم بشكل منتظم وآمن.</t>
  </si>
  <si>
    <t>لتر</t>
  </si>
  <si>
    <t>مكرونة</t>
  </si>
  <si>
    <t>توفير كميات من المكرونة كجزء من الدعم الغذائي للأسر الفقيرة. تهدف هذه المبادرة إلى تخفيف الأعباء المعيشية عن الأسر المحتاجة وتوفير الاحتياجات الأساسية لهم بشكل منتظم وآمن.</t>
  </si>
  <si>
    <t>جمعية الخير</t>
  </si>
  <si>
    <t>جمعية تقدم خدمات دعم اجتماعي وإنساني تشمل الغذاء والملبس والمساعدات العاجلة للأسر محدودة الدخل. كما تعمل الجمعية على تنظيم حملات موسمية لدعم الأسر الأكثر احتياجاً، وتسعى إلى توفير بيئة أفضل للمجتمع من خلال المبادرات التطوعية والتكافل الاجتماعي.</t>
  </si>
  <si>
    <t xml:space="preserve">أرز </t>
  </si>
  <si>
    <t>مبادرة لدعم الأسر من خلال توفير الأرز ضمن سلال غذائية متكاملة. تهدف هذه المبادرة إلى تخفيف الأعباء المعيشية عن الأسر المحتاجة وتوفير الاحتياجات الأساسية لهم بشكل منتظم وآمن.</t>
  </si>
  <si>
    <t xml:space="preserve"> جمعية الخير  </t>
  </si>
  <si>
    <t>أدوية</t>
  </si>
  <si>
    <t>توفير أدوية أساسية لدعم الحالات المرضية غير القادرة على العلاج. تهدف هذه المبادرة إلى تخفيف الأعباء المعيشية عن الأسر المحتاجة وتوفير الاحتياجات الأساسية لهم بشكل منتظم وآمن.</t>
  </si>
  <si>
    <t>عبوه</t>
  </si>
  <si>
    <t>جمعية المستقبل</t>
  </si>
  <si>
    <t>جمعية تهدف إلى بناء مستقبل أفضل للأسر المحتاجة عبر توفير الدعم الغذائي والتعليمي والمبادرات التنموية. كما تعمل الجمعية على تنظيم حملات موسمية لدعم الأسر الأكثر احتياجاً، وتسعى إلى توفير بيئة أفضل للمجتمع من خلال المبادرات التطوعية والتكافل الاجتماعي.</t>
  </si>
  <si>
    <t>ملابس أطفال</t>
  </si>
  <si>
    <t>جمع وتوزيع ملابس للأطفال المحتاجين لدعم احتياجاتهم اليومية. تهدف هذه المبادرة إلى تخفيف الأعباء المعيشية عن الأسر المحتاجة وتوفير الاحتياجات الأساسية لهم بشكل منتظم وآمن.</t>
  </si>
  <si>
    <t>جمعية  المستقبل</t>
  </si>
  <si>
    <t>مياه شرب</t>
  </si>
  <si>
    <t>توفير مياه شرب نظيفة للأسر في المناطق الأكثر احتياجاً. تهدف هذه المبادرة إلى تخفيف الأعباء المعيشية عن الأسر المحتاجة وتوفير الاحتياجات الأساسية لهم بشكل منتظم وآمن.</t>
  </si>
  <si>
    <t>جمعية التعاون</t>
  </si>
  <si>
    <t>جمعية تعتمد على العمل الجماعي لتقديم مساعدات غذائية وطبية وتعزيز روح التكافل بين أفراد المجتمع. كما تعمل الجمعية على تنظيم حملات موسمية لدعم الأسر الأكثر احتياجاً، وتسعى إلى توفير بيئة أفضل للمجتمع من خلال المبادرات التطوعية والتكافل الاجتماعي.</t>
  </si>
  <si>
    <t>سلة رمضان</t>
  </si>
  <si>
    <t>حملة رمضانية لتوزيع سلال غذائية على الأسر المحتاجة خلال شهر رمضان. تهدف هذه المبادرة إلى تخفيف الأعباء المعيشية عن الأسر المحتاجة وتوفير الاحتياجات الأساسية لهم بشكل منتظم وآمن.</t>
  </si>
  <si>
    <t>حملة دفء</t>
  </si>
  <si>
    <t>مبادرة شتوية لتوفير بطاطين وملابس ثقيلة للأسر الفقيرة. تهدف هذه المبادرة إلى تخفيف الأعباء المعيشية عن الأسر المحتاجة وتوفير الاحتياجات الأساسية لهم بشكل منتظم وآمن.</t>
  </si>
  <si>
    <t>جمعية الإيمان</t>
  </si>
  <si>
    <t>جمعية خيرية تقدم مساعدات غذائية وملابس للفقراء مع التركيز على دعم الأسر في الأوقات الصعبة. كما تعمل الجمعية على تنظيم حملات موسمية لدعم الأسر الأكثر احتياجاً، وتسعى إلى توفير بيئة أفضل للمجتمع من خلال المبادرات التطوعية والتكافل الاجتماعي.</t>
  </si>
  <si>
    <t>مواد غذائية</t>
  </si>
  <si>
    <t>دعم غذائي شامل يهدف إلى توفير المواد الأساسية للأسر المحتاجة. تهدف هذه المبادرة إلى تخفيف الأعباء المعيشية عن الأسر المحتاجة وتوفير الاحتياجات الأساسية لهم بشكل منتظم وآمن.</t>
  </si>
  <si>
    <t>فول</t>
  </si>
  <si>
    <t>حملة توفير الفول  كجزء من المساعدات الغذائية الأساسية. تهدف هذه المبادرة إلى تخفيف الأعباء المعيشية عن الأسر المحتاجة</t>
  </si>
  <si>
    <t>أرز</t>
  </si>
  <si>
    <t>توفير الأرز كعنصر غذائي أساسي لدعم الأمن الغذائي للأسر الفقيرة. تهدف هذه المبادرة إلى تخفيف الأعباء المعيشية عن الأسر المحتاجة وتوفير الاحتياجات الأساسية لهم بشكل منتظم وآمن.</t>
  </si>
  <si>
    <t>جمعية الأيادي البيضاء</t>
  </si>
  <si>
    <t>جمعية تطوعية تنفذ حملات خيرية متنوعة تشمل توزيع الطعام والملابس ودعم الفئات المحتاجة. كما تعمل الجمعية على تنظيم حملات موسمية لدعم الأسر الأكثر احتياجاً، وتسعى إلى توفير بيئة أفضل للمجتمع من خلال المبادرات التطوعية والتكافل الاجتماعي.</t>
  </si>
  <si>
    <t>السكر</t>
  </si>
  <si>
    <t>توزيع السكر ضمن برامج الدعم الغذائي للأسر المحتاجة. تهدف هذه المبادرة إلى تخفيف الأعباء المعيشية عن الأسر المحتاجة وتوفير الاحتياجات الأساسية لهم بشكل منتظم وآمن.</t>
  </si>
  <si>
    <t>زيت</t>
  </si>
  <si>
    <t>توفير زيت الطعام كجزء من المساعدات الغذائية الأساسية. تهدف هذه المبادرة إلى تخفيف الأعباء المعيشية عن الأسر المحتاجة وتوفير الاحتياجات الأساسية لهم بشكل منتظم وآمن.</t>
  </si>
  <si>
    <t>بسلة</t>
  </si>
  <si>
    <t>توفير بعبوة بسلة (معلبة أو مجمدة) كعنصر غذائي أساسي لدعم الأمن الغذائي للأسر الفقيرة.</t>
  </si>
  <si>
    <t>جمعية نور الحياة</t>
  </si>
  <si>
    <t>جمعية تهدف إلى تحسين جودة حياة المحتاجين من خلال دعم غذائي وطبي ومشاريع تنموية صغيرة. كما تعمل الجمعية على تنظيم حملات موسمية لدعم الأسر الأكثر احتياجاً، وتسعى إلى توفير بيئة أفضل للمجتمع من خلال المبادرات التطوعية والتكافل الاجتماعي.</t>
  </si>
  <si>
    <t>شنط مدرسة</t>
  </si>
  <si>
    <t>تقديم شنط مدرسة لدعم الأسر المحتاجة. تهدف هذه المبادرة إلى تخفيف الأعباء المعيشية عن الأسر المحتاجة وتوفير الاحتياجات الأساسية لهم بشكل منتظم وآمن.</t>
  </si>
  <si>
    <t>صلصة طماطم</t>
  </si>
  <si>
    <t>توزيع حقائب غذائية تحتوي على احتياجات أساسية للأسر الفقيرة. تهدف هذه المبادرة إلى تخفيف الأعباء المعيشية عن الأسر المحتاجة وتوفير الاحتياجات الأساسية لهم بشكل منتظم وآمن.</t>
  </si>
  <si>
    <t>جمعية الكرامة</t>
  </si>
  <si>
    <t>جمعية تقدم مساعدات إنسانية عاجلة للأسر الفقيرة مع التركيز على توفير الاحتياجات الأساسية. كما تعمل الجمعية على تنظيم حملات موسمية لدعم الأسر الأكثر احتياجاً، وتسعى إلى توفير بيئة أفضل للمجتمع من خلال المبادرات التطوعية والتكافل الاجتماعي.</t>
  </si>
  <si>
    <t>شاي</t>
  </si>
  <si>
    <t>مبادرة لدعم الأسر المحتاجة بمساعدات متنوعة غذائية واجتماعية. تهدف هذه المبادرة إلى تخفيف الأعباء المعيشية عن الأسر المحتاجة وتوفير الاحتياجات الأساسية لهم بشكل منتظم وآمن.</t>
  </si>
  <si>
    <t>مستلزمات منزلية</t>
  </si>
  <si>
    <t>توفير مستلزمات منزلية أساسية( اواني واطباق واكواب ) للأسر الفقيرة. تهدف هذه المبادرة إلى تخفيف الأعباء المعيشية عن الأسر المحتاجة وتوفير الاحتياجات الأساسية لهم بشكل منتظم وآمن.</t>
  </si>
  <si>
    <t>جمعية السعادة</t>
  </si>
  <si>
    <t>جمعية خيرية تسعى لنشر السعادة بين الأسر المحتاجة عبر تقديم سلال غذائية ومساعدات متنوعة. كما تعمل الجمعية على تنظيم حملات موسمية لدعم الأسر الأكثر احتياجاً، وتسعى إلى توفير بيئة أفضل للمجتمع من خلال المبادرات التطوعية والتكافل الاجتماعي.</t>
  </si>
  <si>
    <t>بطاطس</t>
  </si>
  <si>
    <t>سلة غذائية متكاملة تحتوي على أهم المواد الأساسية. تهدف هذه المبادرة إلى تخفيف الأعباء المعيشية عن الأسر المحتاجة وتوفير الاحتياجات الأساسية لهم بشكل منتظم وآمن.</t>
  </si>
  <si>
    <t>مبادرة شتوية لتوزيع بطاطين على الأسر المحتاجة. تهدف هذه المبادرة إلى تخفيف الأعباء المعيشية عن الأسر المحتاجة وتوفير الاحتياجات الأساسية لهم بشكل منتظم وآمن.</t>
  </si>
  <si>
    <t>جمعية الأمل الجديد</t>
  </si>
  <si>
    <t>جمعية تهدف إلى دعم الأسر الفقيرة وبناء فرص أفضل لهم من خلال برامج مساعدات مستمرة. كما تعمل الجمعية على تنظيم حملات موسمية لدعم الأسر الأكثر احتياجاً، وتسعى إلى توفير بيئة أفضل للمجتمع من خلال المبادرات التطوعية والتكافل الاجتماعي.</t>
  </si>
  <si>
    <t>أدوية أساسية</t>
  </si>
  <si>
    <t>توفير أدوية ضرورية لدعم الحالات الصحية المحتاجة. تهدف هذه المبادرة إلى تخفيف الأعباء المعيشية عن الأسر المحتاجة وتوفير الاحتياجات الأساسية لهم بشكل منتظم وآمن.</t>
  </si>
  <si>
    <t>جمعية  الأمل الجديد</t>
  </si>
  <si>
    <t>دعم طارئ يشمل مياه شرب ومواد غذائية للأسر المتضررة. تهدف هذه المبادرة إلى تخفيف الأعباء المعيشية عن الأسر المحتاجة وتوفير الاحتياجات الأساسية لهم بشكل منتظم وآمن.</t>
  </si>
  <si>
    <t>production</t>
  </si>
  <si>
    <t>مؤسسة إيد في إيد</t>
  </si>
  <si>
    <t>مؤسسة خيرية بتشتغل على دعم الأسر المحتاجة من خلال توفير الغذاء والاحتياجات الأساسية بشكل منتظم.</t>
  </si>
  <si>
    <t>المتوفر حاليًا: سلال غذائية متكاملة وتشمل (أرز، سكر، مكرونة، زيت، شاي، وصلصة لتخفيف الأعباء وتوفير الاحتياجات الأساسية).</t>
  </si>
  <si>
    <t xml:space="preserve"> أرز</t>
  </si>
  <si>
    <t xml:space="preserve">متوفر لدينا كمية من الأرز </t>
  </si>
  <si>
    <t xml:space="preserve"> زيت</t>
  </si>
  <si>
    <t>متوفر لدينا كمية من الزيت</t>
  </si>
  <si>
    <t>مؤسسة الخير دايم</t>
  </si>
  <si>
    <t>مؤسسة بتسعى لنشر الخير المستدام عن طريق توفير المواد الغذائية والملابس للأسر الأولى بالرعاية.</t>
  </si>
  <si>
    <t xml:space="preserve"> سكر</t>
  </si>
  <si>
    <t>متوفر لدينا كمية من السكر</t>
  </si>
  <si>
    <t>متوفر لدينا كمية من البطاطين للأسر المحتاجة.</t>
  </si>
  <si>
    <t>متوفر لدينا كمية من  الملابس الشتوية للأسر المحتاجة.</t>
  </si>
  <si>
    <t xml:space="preserve"> مؤسسة سند</t>
  </si>
  <si>
    <t>مؤسسة تهدف إلى مساندة الأسر البسيطة وتخفيف الأعباء المعيشية عنهم في جميع المواسم.</t>
  </si>
  <si>
    <t>متوفر لدينا: بطاطس طازجة بجودة عالية لدعم الأسر المحتاجة.</t>
  </si>
  <si>
    <t>متوفر لدينا كمية من صلصة الطماطم</t>
  </si>
  <si>
    <t>مؤسسة عطاء بلا حدود</t>
  </si>
  <si>
    <t>مؤسسة إنسانية بتقدم المساعدات الغذائية والطبية لكل من يحتاج بدون تمييز.</t>
  </si>
  <si>
    <t>المتوفر حاليًا: مساعدات طبية.</t>
  </si>
  <si>
    <t>متوفر لدينا كمية من الشاي</t>
  </si>
  <si>
    <t xml:space="preserve"> مؤسسة بسمة أمل</t>
  </si>
  <si>
    <t>مؤسسة خيرية بتؤمن إن المساعدة البسيطة تقدر تصنع فرق كبير في حياة الناس.</t>
  </si>
  <si>
    <t>عبوات(بسله)</t>
  </si>
  <si>
    <t xml:space="preserve"> متوفر لدينا: عبوات بقوليات متنوعة لدعم المطبخ اليومي.</t>
  </si>
  <si>
    <t>مؤسسة السلام</t>
  </si>
  <si>
    <t xml:space="preserve"> يركز على إنتاج السلع الاستهلاكية التي تلبي احتياجات الأسر اليومية. وتهدف المؤسسة إلى تطوير الإنتاج المحلي وتوفير منتجات عالية الجودة مع دعم فرص العمل وتحسين الاقتصاد المجتمعي.</t>
  </si>
  <si>
    <t>متوفر لدينا كمية من المياه الشرب.</t>
  </si>
  <si>
    <t>مصنع السلام</t>
  </si>
  <si>
    <t>متوفر لدينا كمية من المكرونة.</t>
  </si>
  <si>
    <t>مؤسسة نور الحياة</t>
  </si>
  <si>
    <t>مؤسسة خيرية بتسعى لتوصيل الدعم لمستحقيه في أسرع وقت وبأفضل صورة.</t>
  </si>
  <si>
    <t xml:space="preserve"> متاح الآن: شنط غذائية جاهزة للتسليم الفوري وتشمل (أرز، سكر، مكرونة، زيت، شاي، وصلصة لتخفيف الأعباء وتوفير الاحتياجات الأساسية).</t>
  </si>
  <si>
    <t>متوفر لدينا كمية من سلال غذائية وتشمل (أرز، سكر، مكرونة، زيت، شاي، وصلصة لتخفيف الأعباء وتوفير الاحتياجات الأساسية).</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</si>
</sst>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2.0"/>
      <color rgb="FFFFFFFF"/>
      <name val="Calibri"/>
    </font>
    <font>
      <b/>
      <sz val="11.0"/>
      <color theme="1"/>
      <name val="Calibri"/>
    </font>
    <font>
      <sz val="11.0"/>
      <color theme="1"/>
      <name val="Calibri"/>
    </font>
    <font>
      <color theme="1"/>
      <name val="Calibri"/>
      <scheme val="minor"/>
    </font>
  </fonts>
  <fills count="9">
    <fill>
      <patternFill patternType="none"/>
    </fill>
    <fill>
      <patternFill patternType="lightGray"/>
    </fill>
    <fill>
      <patternFill patternType="solid">
        <fgColor rgb="FF1F4E78"/>
        <bgColor rgb="FF1F4E78"/>
      </patternFill>
    </fill>
    <fill>
      <patternFill patternType="solid">
        <fgColor rgb="FFDDEBF7"/>
        <bgColor rgb="FFDDEBF7"/>
      </patternFill>
    </fill>
    <fill>
      <patternFill patternType="solid">
        <fgColor rgb="FFFFF2CC"/>
        <bgColor rgb="FFFFF2CC"/>
      </patternFill>
    </fill>
    <fill>
      <patternFill patternType="solid">
        <fgColor rgb="FFB2A1C7"/>
        <bgColor rgb="FFB2A1C7"/>
      </patternFill>
    </fill>
    <fill>
      <patternFill patternType="solid">
        <fgColor rgb="FFE2F0D9"/>
        <bgColor rgb="FFE2F0D9"/>
      </patternFill>
    </fill>
    <fill>
      <patternFill patternType="solid">
        <fgColor rgb="FFE8F5E9"/>
        <bgColor rgb="FFE8F5E9"/>
      </patternFill>
    </fill>
    <fill>
      <patternFill patternType="solid">
        <fgColor theme="0"/>
        <bgColor theme="0"/>
      </patternFill>
    </fill>
  </fills>
  <borders count="3">
    <border/>
    <border>
      <left style="thin">
        <color rgb="FFD9D9D9"/>
      </left>
      <right style="thin">
        <color rgb="FFD9D9D9"/>
      </right>
      <top style="thin">
        <color rgb="FFD9D9D9"/>
      </top>
      <bottom style="thin">
        <color rgb="FFD9D9D9"/>
      </bottom>
    </border>
    <border>
      <left/>
      <right/>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3" fontId="2" numFmtId="0" xfId="0" applyAlignment="1" applyBorder="1" applyFill="1" applyFont="1">
      <alignment horizontal="center" shrinkToFit="0" vertical="center" wrapText="1"/>
    </xf>
    <xf borderId="1" fillId="3" fontId="2" numFmtId="0" xfId="0" applyAlignment="1" applyBorder="1" applyFont="1">
      <alignment horizontal="center" readingOrder="0" shrinkToFit="0" vertical="center" wrapText="1"/>
    </xf>
    <xf borderId="1" fillId="3" fontId="3" numFmtId="0" xfId="0" applyAlignment="1" applyBorder="1" applyFont="1">
      <alignment horizontal="center" shrinkToFit="0" vertical="center" wrapText="1"/>
    </xf>
    <xf borderId="1" fillId="4" fontId="3" numFmtId="0" xfId="0" applyAlignment="1" applyBorder="1" applyFill="1" applyFont="1">
      <alignment horizontal="center" shrinkToFit="0" vertical="center" wrapText="1"/>
    </xf>
    <xf borderId="1" fillId="4" fontId="3"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5" fontId="3" numFmtId="0" xfId="0" applyAlignment="1" applyBorder="1" applyFill="1" applyFont="1">
      <alignment horizontal="center" shrinkToFit="0" vertical="center" wrapText="1"/>
    </xf>
    <xf borderId="2" fillId="5" fontId="3" numFmtId="0" xfId="0" applyBorder="1" applyFont="1"/>
    <xf borderId="1" fillId="6" fontId="2" numFmtId="0" xfId="0" applyAlignment="1" applyBorder="1" applyFill="1" applyFont="1">
      <alignment horizontal="center" shrinkToFit="0" vertical="center" wrapText="1"/>
    </xf>
    <xf borderId="1" fillId="6" fontId="2" numFmtId="0" xfId="0" applyAlignment="1" applyBorder="1" applyFont="1">
      <alignment horizontal="center" readingOrder="0" shrinkToFit="0" vertical="center" wrapText="1"/>
    </xf>
    <xf borderId="1" fillId="4" fontId="2" numFmtId="0" xfId="0" applyAlignment="1" applyBorder="1" applyFont="1">
      <alignment horizontal="center" shrinkToFit="0" vertical="center" wrapText="1"/>
    </xf>
    <xf borderId="1" fillId="4" fontId="2" numFmtId="0" xfId="0" applyAlignment="1" applyBorder="1" applyFont="1">
      <alignment horizontal="center" readingOrder="0" shrinkToFit="0" vertical="center" wrapText="1"/>
    </xf>
    <xf borderId="1" fillId="7" fontId="2" numFmtId="0" xfId="0" applyAlignment="1" applyBorder="1" applyFill="1" applyFont="1">
      <alignment horizontal="center" shrinkToFit="0" vertical="center" wrapText="1"/>
    </xf>
    <xf borderId="1" fillId="8" fontId="2" numFmtId="0" xfId="0" applyAlignment="1" applyBorder="1" applyFill="1" applyFont="1">
      <alignment horizontal="center" shrinkToFit="0" vertical="center" wrapText="1"/>
    </xf>
    <xf borderId="2" fillId="8" fontId="3" numFmtId="0" xfId="0" applyBorder="1" applyFont="1"/>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28.0"/>
    <col customWidth="1" min="3" max="3" width="118.71"/>
    <col customWidth="1" min="4" max="4" width="22.0"/>
    <col customWidth="1" min="5" max="5" width="28.0"/>
    <col customWidth="1" min="6" max="8" width="18.0"/>
    <col customWidth="1" min="9" max="26" width="9.0"/>
  </cols>
  <sheetData>
    <row r="1" ht="54.75" customHeight="1">
      <c r="A1" s="1" t="s">
        <v>0</v>
      </c>
      <c r="B1" s="1" t="s">
        <v>1</v>
      </c>
      <c r="C1" s="1" t="s">
        <v>2</v>
      </c>
      <c r="D1" s="1" t="s">
        <v>3</v>
      </c>
      <c r="E1" s="1" t="s">
        <v>4</v>
      </c>
      <c r="F1" s="1" t="s">
        <v>5</v>
      </c>
      <c r="G1" s="1" t="s">
        <v>6</v>
      </c>
      <c r="H1" s="1"/>
    </row>
    <row r="2" ht="39.75" customHeight="1">
      <c r="A2" s="2" t="s">
        <v>7</v>
      </c>
      <c r="B2" s="3" t="s">
        <v>8</v>
      </c>
      <c r="C2" s="3" t="s">
        <v>9</v>
      </c>
      <c r="D2" s="2" t="str">
        <f>DISPIMG("ID_28AAEA990E234BA181A7A9176F22CDEA",1)</f>
        <v>#NAME?</v>
      </c>
      <c r="E2" s="2"/>
      <c r="F2" s="2"/>
      <c r="G2" s="4"/>
      <c r="H2" s="4"/>
    </row>
    <row r="3" ht="39.75" customHeight="1">
      <c r="A3" s="5" t="s">
        <v>10</v>
      </c>
      <c r="B3" s="6" t="s">
        <v>11</v>
      </c>
      <c r="C3" s="6" t="s">
        <v>12</v>
      </c>
      <c r="D3" s="5" t="str">
        <f>DISPIMG("ID_0E1B8C72E30E40D487B6AD90D7322A35",1)</f>
        <v>#NAME?</v>
      </c>
      <c r="E3" s="6" t="s">
        <v>8</v>
      </c>
      <c r="F3" s="5">
        <v>50.0</v>
      </c>
      <c r="G3" s="6" t="s">
        <v>13</v>
      </c>
      <c r="H3" s="5"/>
    </row>
    <row r="4" ht="39.75" customHeight="1">
      <c r="A4" s="5" t="s">
        <v>10</v>
      </c>
      <c r="B4" s="6" t="s">
        <v>14</v>
      </c>
      <c r="C4" s="6" t="s">
        <v>15</v>
      </c>
      <c r="D4" s="5" t="str">
        <f>DISPIMG("ID_947B50DFF30F47DAB34B18656BE06377",1)</f>
        <v>#NAME?</v>
      </c>
      <c r="E4" s="6" t="s">
        <v>8</v>
      </c>
      <c r="F4" s="5">
        <v>300.0</v>
      </c>
      <c r="G4" s="6" t="s">
        <v>16</v>
      </c>
      <c r="H4" s="5"/>
    </row>
    <row r="5" ht="39.75" customHeight="1">
      <c r="A5" s="7"/>
      <c r="B5" s="7"/>
      <c r="C5" s="7"/>
      <c r="D5" s="7"/>
      <c r="E5" s="7"/>
      <c r="F5" s="7"/>
      <c r="G5" s="7"/>
      <c r="H5" s="7"/>
    </row>
    <row r="6" ht="39.75" customHeight="1">
      <c r="A6" s="2" t="s">
        <v>7</v>
      </c>
      <c r="B6" s="3" t="s">
        <v>17</v>
      </c>
      <c r="C6" s="3" t="s">
        <v>18</v>
      </c>
      <c r="D6" s="2" t="str">
        <f>DISPIMG("ID_4E1D6E986185432EB74ED33F8954717E",1)</f>
        <v>#NAME?</v>
      </c>
      <c r="E6" s="2"/>
      <c r="F6" s="2"/>
      <c r="G6" s="4"/>
      <c r="H6" s="4"/>
    </row>
    <row r="7" ht="39.75" customHeight="1">
      <c r="A7" s="5" t="s">
        <v>10</v>
      </c>
      <c r="B7" s="6" t="s">
        <v>19</v>
      </c>
      <c r="C7" s="6" t="s">
        <v>20</v>
      </c>
      <c r="D7" s="5" t="str">
        <f>DISPIMG("ID_C8BD925ABE774E0F85D2D7888BCAB7B6",1)</f>
        <v>#NAME?</v>
      </c>
      <c r="E7" s="6" t="s">
        <v>17</v>
      </c>
      <c r="F7" s="5">
        <v>200.0</v>
      </c>
      <c r="G7" s="6" t="s">
        <v>21</v>
      </c>
      <c r="H7" s="5"/>
    </row>
    <row r="8" ht="39.75" customHeight="1">
      <c r="A8" s="5" t="s">
        <v>10</v>
      </c>
      <c r="B8" s="6" t="s">
        <v>22</v>
      </c>
      <c r="C8" s="6" t="s">
        <v>23</v>
      </c>
      <c r="D8" s="5" t="str">
        <f>DISPIMG("ID_75D2A550BA174925B50197839BE46492",1)</f>
        <v>#NAME?</v>
      </c>
      <c r="E8" s="6" t="s">
        <v>17</v>
      </c>
      <c r="F8" s="5">
        <v>250.0</v>
      </c>
      <c r="G8" s="6" t="s">
        <v>24</v>
      </c>
      <c r="H8" s="5"/>
    </row>
    <row r="9" ht="39.75" customHeight="1">
      <c r="A9" s="7"/>
      <c r="B9" s="7"/>
      <c r="C9" s="7"/>
      <c r="D9" s="7"/>
      <c r="E9" s="7"/>
      <c r="F9" s="7"/>
      <c r="G9" s="7"/>
      <c r="H9" s="7"/>
    </row>
    <row r="10" ht="39.75" customHeight="1">
      <c r="A10" s="2" t="s">
        <v>7</v>
      </c>
      <c r="B10" s="3" t="s">
        <v>25</v>
      </c>
      <c r="C10" s="3" t="s">
        <v>26</v>
      </c>
      <c r="D10" s="2" t="str">
        <f>DISPIMG("ID_B1BEC54357F14397A3E8626F1CF6AAD7",1)</f>
        <v>#NAME?</v>
      </c>
      <c r="E10" s="2"/>
      <c r="F10" s="2"/>
      <c r="G10" s="4"/>
      <c r="H10" s="4"/>
    </row>
    <row r="11" ht="39.75" customHeight="1">
      <c r="A11" s="5" t="s">
        <v>10</v>
      </c>
      <c r="B11" s="6" t="s">
        <v>27</v>
      </c>
      <c r="C11" s="6" t="s">
        <v>28</v>
      </c>
      <c r="D11" s="5" t="str">
        <f>DISPIMG("ID_A3A56AA8B9EF4A928A3D27A72E940932",1)</f>
        <v>#NAME?</v>
      </c>
      <c r="E11" s="6" t="s">
        <v>25</v>
      </c>
      <c r="F11" s="5">
        <v>150.0</v>
      </c>
      <c r="G11" s="6" t="s">
        <v>24</v>
      </c>
      <c r="H11" s="5"/>
    </row>
    <row r="12" ht="39.75" customHeight="1">
      <c r="A12" s="5" t="s">
        <v>10</v>
      </c>
      <c r="B12" s="6" t="s">
        <v>29</v>
      </c>
      <c r="C12" s="6" t="s">
        <v>30</v>
      </c>
      <c r="D12" s="5" t="str">
        <f>DISPIMG("ID_26351E0AFC864AD0A42C07753FF85C62",1)</f>
        <v>#NAME?</v>
      </c>
      <c r="E12" s="6" t="s">
        <v>25</v>
      </c>
      <c r="F12" s="5">
        <v>500.0</v>
      </c>
      <c r="G12" s="6" t="s">
        <v>31</v>
      </c>
      <c r="H12" s="5"/>
    </row>
    <row r="13" ht="39.75" customHeight="1">
      <c r="A13" s="7"/>
      <c r="B13" s="7"/>
      <c r="C13" s="7"/>
      <c r="D13" s="7"/>
      <c r="E13" s="7"/>
      <c r="F13" s="7"/>
      <c r="G13" s="7"/>
      <c r="H13" s="7"/>
    </row>
    <row r="14" ht="39.75" customHeight="1">
      <c r="A14" s="2" t="s">
        <v>7</v>
      </c>
      <c r="B14" s="3" t="s">
        <v>32</v>
      </c>
      <c r="C14" s="3" t="s">
        <v>33</v>
      </c>
      <c r="D14" s="2" t="str">
        <f>DISPIMG("ID_46AE4F67A5D848F08F8159F03729796E",1)</f>
        <v>#NAME?</v>
      </c>
      <c r="E14" s="2"/>
      <c r="F14" s="2"/>
      <c r="G14" s="4"/>
      <c r="H14" s="4"/>
    </row>
    <row r="15" ht="39.75" customHeight="1">
      <c r="A15" s="5" t="s">
        <v>10</v>
      </c>
      <c r="B15" s="6" t="s">
        <v>34</v>
      </c>
      <c r="C15" s="6" t="s">
        <v>35</v>
      </c>
      <c r="D15" s="5" t="str">
        <f>DISPIMG("ID_7B1B5541C5C14A6FB5F7F8179BA5999F",1)</f>
        <v>#NAME?</v>
      </c>
      <c r="E15" s="6" t="s">
        <v>32</v>
      </c>
      <c r="F15" s="5">
        <v>400.0</v>
      </c>
      <c r="G15" s="6" t="s">
        <v>36</v>
      </c>
      <c r="H15" s="5"/>
    </row>
    <row r="16" ht="39.75" customHeight="1">
      <c r="A16" s="5" t="s">
        <v>10</v>
      </c>
      <c r="B16" s="6" t="s">
        <v>37</v>
      </c>
      <c r="C16" s="6" t="s">
        <v>38</v>
      </c>
      <c r="D16" s="5" t="str">
        <f>DISPIMG("ID_296A5A9516BA4FA7910BD4BD4BA4A705",1)</f>
        <v>#NAME?</v>
      </c>
      <c r="E16" s="6" t="s">
        <v>32</v>
      </c>
      <c r="F16" s="5">
        <v>350.0</v>
      </c>
      <c r="G16" s="6" t="s">
        <v>16</v>
      </c>
      <c r="H16" s="5"/>
    </row>
    <row r="17" ht="39.75" customHeight="1">
      <c r="A17" s="7"/>
      <c r="B17" s="7"/>
      <c r="C17" s="7"/>
      <c r="D17" s="7"/>
      <c r="E17" s="7"/>
      <c r="F17" s="7"/>
      <c r="G17" s="7"/>
      <c r="H17" s="7"/>
    </row>
    <row r="18" ht="39.75" customHeight="1">
      <c r="A18" s="2" t="s">
        <v>7</v>
      </c>
      <c r="B18" s="3" t="s">
        <v>39</v>
      </c>
      <c r="C18" s="3" t="s">
        <v>40</v>
      </c>
      <c r="D18" s="2" t="str">
        <f>DISPIMG("ID_16FD2A4548D148C0A49818B8329D16B9",1)</f>
        <v>#NAME?</v>
      </c>
      <c r="E18" s="2"/>
      <c r="F18" s="2"/>
      <c r="G18" s="4"/>
      <c r="H18" s="4"/>
    </row>
    <row r="19" ht="39.75" customHeight="1">
      <c r="A19" s="5" t="s">
        <v>10</v>
      </c>
      <c r="B19" s="6" t="s">
        <v>41</v>
      </c>
      <c r="C19" s="6" t="s">
        <v>42</v>
      </c>
      <c r="D19" s="5" t="str">
        <f>DISPIMG("ID_2ACD2E3D4B7A4352A879CBD57019E0D3",1)</f>
        <v>#NAME?</v>
      </c>
      <c r="E19" s="6" t="s">
        <v>43</v>
      </c>
      <c r="F19" s="5">
        <v>500.0</v>
      </c>
      <c r="G19" s="6" t="s">
        <v>16</v>
      </c>
      <c r="H19" s="5"/>
    </row>
    <row r="20" ht="39.75" customHeight="1">
      <c r="A20" s="5" t="s">
        <v>10</v>
      </c>
      <c r="B20" s="6" t="s">
        <v>44</v>
      </c>
      <c r="C20" s="6" t="s">
        <v>45</v>
      </c>
      <c r="D20" s="5" t="str">
        <f>DISPIMG("ID_F835AC1B46B045BDA52FBC8A62009A30",1)</f>
        <v>#NAME?</v>
      </c>
      <c r="E20" s="6" t="s">
        <v>39</v>
      </c>
      <c r="F20" s="5">
        <v>120.0</v>
      </c>
      <c r="G20" s="6" t="s">
        <v>46</v>
      </c>
      <c r="H20" s="5"/>
    </row>
    <row r="21" ht="39.75" customHeight="1">
      <c r="A21" s="7"/>
      <c r="B21" s="7"/>
      <c r="C21" s="7"/>
      <c r="D21" s="7"/>
      <c r="E21" s="7"/>
      <c r="F21" s="7"/>
      <c r="G21" s="7"/>
      <c r="H21" s="7"/>
    </row>
    <row r="22" ht="39.75" customHeight="1">
      <c r="A22" s="2" t="s">
        <v>7</v>
      </c>
      <c r="B22" s="3" t="s">
        <v>47</v>
      </c>
      <c r="C22" s="3" t="s">
        <v>48</v>
      </c>
      <c r="D22" s="2" t="str">
        <f>DISPIMG("ID_9AEE1D3BAE5A4ED3913A451D0710BF97",1)</f>
        <v>#NAME?</v>
      </c>
      <c r="E22" s="2"/>
      <c r="F22" s="2"/>
      <c r="G22" s="4"/>
      <c r="H22" s="4"/>
    </row>
    <row r="23" ht="39.75" customHeight="1">
      <c r="A23" s="5" t="s">
        <v>10</v>
      </c>
      <c r="B23" s="6" t="s">
        <v>49</v>
      </c>
      <c r="C23" s="6" t="s">
        <v>50</v>
      </c>
      <c r="D23" s="5" t="str">
        <f>DISPIMG("ID_232E435FE1B9456A9C858FB9474171A0",1)</f>
        <v>#NAME?</v>
      </c>
      <c r="E23" s="6" t="s">
        <v>51</v>
      </c>
      <c r="F23" s="5">
        <v>180.0</v>
      </c>
      <c r="G23" s="6" t="s">
        <v>24</v>
      </c>
      <c r="H23" s="5"/>
    </row>
    <row r="24" ht="39.75" customHeight="1">
      <c r="A24" s="5" t="s">
        <v>10</v>
      </c>
      <c r="B24" s="6" t="s">
        <v>52</v>
      </c>
      <c r="C24" s="6" t="s">
        <v>53</v>
      </c>
      <c r="D24" s="5" t="str">
        <f>DISPIMG("ID_10C3339249384075AC2E8CE47245023C",1)</f>
        <v>#NAME?</v>
      </c>
      <c r="E24" s="6" t="s">
        <v>47</v>
      </c>
      <c r="F24" s="5">
        <v>600.0</v>
      </c>
      <c r="G24" s="6" t="s">
        <v>36</v>
      </c>
      <c r="H24" s="5"/>
    </row>
    <row r="25" ht="39.75" customHeight="1">
      <c r="A25" s="7"/>
      <c r="B25" s="7"/>
      <c r="C25" s="7"/>
      <c r="D25" s="7"/>
      <c r="E25" s="7"/>
      <c r="F25" s="7"/>
      <c r="G25" s="7"/>
      <c r="H25" s="7"/>
    </row>
    <row r="26" ht="39.75" customHeight="1">
      <c r="A26" s="2" t="s">
        <v>7</v>
      </c>
      <c r="B26" s="3" t="s">
        <v>54</v>
      </c>
      <c r="C26" s="3" t="s">
        <v>55</v>
      </c>
      <c r="D26" s="2" t="str">
        <f>DISPIMG("ID_37E9FD08154841D8BD55D9C5E048C859",1)</f>
        <v>#NAME?</v>
      </c>
      <c r="E26" s="2"/>
      <c r="F26" s="2"/>
      <c r="G26" s="4"/>
      <c r="H26" s="4"/>
    </row>
    <row r="27" ht="39.75" customHeight="1">
      <c r="A27" s="5" t="s">
        <v>10</v>
      </c>
      <c r="B27" s="6" t="s">
        <v>56</v>
      </c>
      <c r="C27" s="6" t="s">
        <v>57</v>
      </c>
      <c r="D27" s="5" t="str">
        <f>DISPIMG("ID_656200876EB342929C8696083E38C3BF",1)</f>
        <v>#NAME?</v>
      </c>
      <c r="E27" s="6" t="s">
        <v>54</v>
      </c>
      <c r="F27" s="5">
        <v>220.0</v>
      </c>
      <c r="G27" s="6" t="s">
        <v>21</v>
      </c>
      <c r="H27" s="5"/>
    </row>
    <row r="28" ht="39.75" customHeight="1">
      <c r="A28" s="5" t="s">
        <v>10</v>
      </c>
      <c r="B28" s="6" t="s">
        <v>58</v>
      </c>
      <c r="C28" s="6" t="s">
        <v>59</v>
      </c>
      <c r="D28" s="5" t="str">
        <f>DISPIMG("ID_82838CBDB0754EAC958DBB7EC0B64755",1)</f>
        <v>#NAME?</v>
      </c>
      <c r="E28" s="6" t="s">
        <v>54</v>
      </c>
      <c r="F28" s="5">
        <v>200.0</v>
      </c>
      <c r="G28" s="6" t="s">
        <v>21</v>
      </c>
      <c r="H28" s="5"/>
    </row>
    <row r="29" ht="39.75" customHeight="1">
      <c r="A29" s="7"/>
      <c r="B29" s="7"/>
      <c r="C29" s="7"/>
      <c r="D29" s="7"/>
      <c r="E29" s="7"/>
      <c r="F29" s="7"/>
      <c r="G29" s="7"/>
      <c r="H29" s="7"/>
    </row>
    <row r="30" ht="39.75" customHeight="1">
      <c r="A30" s="2" t="s">
        <v>7</v>
      </c>
      <c r="B30" s="3" t="s">
        <v>60</v>
      </c>
      <c r="C30" s="3" t="s">
        <v>61</v>
      </c>
      <c r="D30" s="2" t="str">
        <f>DISPIMG("ID_2C4E75B9C3D04803AF648DC65C05B467",1)</f>
        <v>#NAME?</v>
      </c>
      <c r="E30" s="2"/>
      <c r="F30" s="2"/>
      <c r="G30" s="4"/>
      <c r="H30" s="4"/>
    </row>
    <row r="31" ht="39.75" customHeight="1">
      <c r="A31" s="5" t="s">
        <v>10</v>
      </c>
      <c r="B31" s="6" t="s">
        <v>62</v>
      </c>
      <c r="C31" s="6" t="s">
        <v>63</v>
      </c>
      <c r="D31" s="5" t="str">
        <f>DISPIMG("ID_C754B990AFE445CC903706E36588A4F5",1)</f>
        <v>#NAME?</v>
      </c>
      <c r="E31" s="6" t="s">
        <v>60</v>
      </c>
      <c r="F31" s="5">
        <v>300.0</v>
      </c>
      <c r="G31" s="6" t="s">
        <v>21</v>
      </c>
      <c r="H31" s="5"/>
    </row>
    <row r="32" ht="39.75" customHeight="1">
      <c r="A32" s="5" t="s">
        <v>10</v>
      </c>
      <c r="B32" s="6" t="s">
        <v>64</v>
      </c>
      <c r="C32" s="6" t="s">
        <v>65</v>
      </c>
      <c r="D32" s="5" t="str">
        <f>DISPIMG("ID_B81C808A18A144AA9C70AAA7A4DDAC3B",1)</f>
        <v>#NAME?</v>
      </c>
      <c r="E32" s="6" t="s">
        <v>60</v>
      </c>
      <c r="F32" s="5">
        <v>450.0</v>
      </c>
      <c r="G32" s="6" t="s">
        <v>31</v>
      </c>
      <c r="H32" s="5"/>
    </row>
    <row r="33" ht="39.75" customHeight="1">
      <c r="A33" s="5" t="s">
        <v>10</v>
      </c>
      <c r="B33" s="6" t="s">
        <v>66</v>
      </c>
      <c r="C33" s="6" t="s">
        <v>67</v>
      </c>
      <c r="D33" s="5" t="str">
        <f>DISPIMG("ID_9387655B744B4CDD871CB0656E8A37E5",1)</f>
        <v>#NAME?</v>
      </c>
      <c r="E33" s="6" t="s">
        <v>60</v>
      </c>
      <c r="F33" s="5">
        <v>250.0</v>
      </c>
      <c r="G33" s="6" t="s">
        <v>16</v>
      </c>
      <c r="H33" s="5"/>
    </row>
    <row r="34" ht="39.75" customHeight="1">
      <c r="A34" s="7"/>
      <c r="B34" s="7"/>
      <c r="C34" s="7"/>
      <c r="D34" s="7"/>
      <c r="E34" s="7"/>
      <c r="F34" s="7"/>
      <c r="G34" s="7"/>
      <c r="H34" s="7"/>
    </row>
    <row r="35" ht="39.75" customHeight="1">
      <c r="A35" s="2" t="s">
        <v>7</v>
      </c>
      <c r="B35" s="3" t="s">
        <v>68</v>
      </c>
      <c r="C35" s="3" t="s">
        <v>69</v>
      </c>
      <c r="D35" s="2" t="str">
        <f>DISPIMG("ID_1E8F0C934B1548C1B23DB30FFF046B10",1)</f>
        <v>#NAME?</v>
      </c>
      <c r="E35" s="2"/>
      <c r="F35" s="2"/>
      <c r="G35" s="4"/>
      <c r="H35" s="4"/>
    </row>
    <row r="36" ht="39.75" customHeight="1">
      <c r="A36" s="5" t="s">
        <v>10</v>
      </c>
      <c r="B36" s="6" t="s">
        <v>70</v>
      </c>
      <c r="C36" s="6" t="s">
        <v>71</v>
      </c>
      <c r="D36" s="5" t="str">
        <f>DISPIMG("ID_2CE1A00A92F04DFB8464455627066740",1)</f>
        <v>#NAME?</v>
      </c>
      <c r="E36" s="6" t="s">
        <v>68</v>
      </c>
      <c r="F36" s="5">
        <v>200.0</v>
      </c>
      <c r="G36" s="6" t="s">
        <v>16</v>
      </c>
      <c r="H36" s="5"/>
    </row>
    <row r="37" ht="39.75" customHeight="1">
      <c r="A37" s="5" t="s">
        <v>10</v>
      </c>
      <c r="B37" s="6" t="s">
        <v>72</v>
      </c>
      <c r="C37" s="6" t="s">
        <v>73</v>
      </c>
      <c r="D37" s="5" t="str">
        <f>DISPIMG("ID_3370DD50DD8C4ADC9C2FB264F4873D57",1)</f>
        <v>#NAME?</v>
      </c>
      <c r="E37" s="6" t="s">
        <v>68</v>
      </c>
      <c r="F37" s="5">
        <v>150.0</v>
      </c>
      <c r="G37" s="6" t="s">
        <v>36</v>
      </c>
      <c r="H37" s="5"/>
    </row>
    <row r="38" ht="39.75" customHeight="1">
      <c r="A38" s="5" t="s">
        <v>10</v>
      </c>
      <c r="B38" s="6" t="s">
        <v>74</v>
      </c>
      <c r="C38" s="6" t="s">
        <v>75</v>
      </c>
      <c r="D38" s="5" t="str">
        <f>DISPIMG("ID_F0BCA3BA5E1B44709738831E56114E70",1)</f>
        <v>#NAME?</v>
      </c>
      <c r="E38" s="6" t="s">
        <v>68</v>
      </c>
      <c r="F38" s="5">
        <v>200.0</v>
      </c>
      <c r="G38" s="6" t="s">
        <v>46</v>
      </c>
      <c r="H38" s="5"/>
    </row>
    <row r="39" ht="39.75" customHeight="1">
      <c r="A39" s="7"/>
      <c r="B39" s="7"/>
      <c r="C39" s="7"/>
      <c r="D39" s="7"/>
      <c r="E39" s="7"/>
      <c r="F39" s="7"/>
      <c r="G39" s="7"/>
      <c r="H39" s="7"/>
    </row>
    <row r="40" ht="39.75" customHeight="1">
      <c r="A40" s="2" t="s">
        <v>7</v>
      </c>
      <c r="B40" s="3" t="s">
        <v>76</v>
      </c>
      <c r="C40" s="3" t="s">
        <v>77</v>
      </c>
      <c r="D40" s="2" t="str">
        <f>DISPIMG("ID_979264BAB75E4B90AC7627A707D2F2CE",1)</f>
        <v>#NAME?</v>
      </c>
      <c r="E40" s="2"/>
      <c r="F40" s="2"/>
      <c r="G40" s="4"/>
      <c r="H40" s="4"/>
    </row>
    <row r="41" ht="39.75" customHeight="1">
      <c r="A41" s="5" t="s">
        <v>10</v>
      </c>
      <c r="B41" s="6" t="s">
        <v>78</v>
      </c>
      <c r="C41" s="6" t="s">
        <v>79</v>
      </c>
      <c r="D41" s="5" t="str">
        <f>DISPIMG("ID_3467B69E8A6449198A8F3BCCD8A64C20",1)</f>
        <v>#NAME?</v>
      </c>
      <c r="E41" s="6" t="s">
        <v>76</v>
      </c>
      <c r="F41" s="5">
        <v>400.0</v>
      </c>
      <c r="G41" s="6" t="s">
        <v>24</v>
      </c>
      <c r="H41" s="5"/>
    </row>
    <row r="42" ht="39.75" customHeight="1">
      <c r="A42" s="5" t="s">
        <v>10</v>
      </c>
      <c r="B42" s="6" t="s">
        <v>80</v>
      </c>
      <c r="C42" s="6" t="s">
        <v>81</v>
      </c>
      <c r="D42" s="5" t="str">
        <f>DISPIMG("ID_18CBF94A089A4BFEA6B407217DA8E094",1)</f>
        <v>#NAME?</v>
      </c>
      <c r="E42" s="6" t="s">
        <v>76</v>
      </c>
      <c r="F42" s="5">
        <v>180.0</v>
      </c>
      <c r="G42" s="6" t="s">
        <v>31</v>
      </c>
      <c r="H42" s="5"/>
    </row>
    <row r="43" ht="39.75" customHeight="1">
      <c r="A43" s="7"/>
      <c r="B43" s="7"/>
      <c r="C43" s="7"/>
      <c r="D43" s="7"/>
      <c r="E43" s="7"/>
      <c r="F43" s="7"/>
      <c r="G43" s="7"/>
      <c r="H43" s="7"/>
    </row>
    <row r="44" ht="39.75" customHeight="1">
      <c r="A44" s="2" t="s">
        <v>7</v>
      </c>
      <c r="B44" s="3" t="s">
        <v>82</v>
      </c>
      <c r="C44" s="3" t="s">
        <v>83</v>
      </c>
      <c r="D44" s="2" t="str">
        <f>DISPIMG("ID_C79C81784EAA457FA0083E07C6BE9958",1)</f>
        <v>#NAME?</v>
      </c>
      <c r="E44" s="2"/>
      <c r="F44" s="2"/>
      <c r="G44" s="4"/>
      <c r="H44" s="4"/>
    </row>
    <row r="45" ht="39.75" customHeight="1">
      <c r="A45" s="5" t="s">
        <v>10</v>
      </c>
      <c r="B45" s="6" t="s">
        <v>84</v>
      </c>
      <c r="C45" s="6" t="s">
        <v>85</v>
      </c>
      <c r="D45" s="5" t="str">
        <f>DISPIMG("ID_84B54BE3954B498083DC5C6B77BC61DC",1)</f>
        <v>#NAME?</v>
      </c>
      <c r="E45" s="6" t="s">
        <v>82</v>
      </c>
      <c r="F45" s="5">
        <v>300.0</v>
      </c>
      <c r="G45" s="6" t="s">
        <v>46</v>
      </c>
      <c r="H45" s="5"/>
    </row>
    <row r="46" ht="39.75" customHeight="1">
      <c r="A46" s="5" t="s">
        <v>10</v>
      </c>
      <c r="B46" s="6" t="s">
        <v>86</v>
      </c>
      <c r="C46" s="6" t="s">
        <v>87</v>
      </c>
      <c r="D46" s="5" t="str">
        <f>DISPIMG("ID_440B7E9FBF6943F8B876519FD3DC6C12",1)</f>
        <v>#NAME?</v>
      </c>
      <c r="E46" s="6" t="s">
        <v>82</v>
      </c>
      <c r="F46" s="5">
        <v>130.0</v>
      </c>
      <c r="G46" s="6" t="s">
        <v>21</v>
      </c>
      <c r="H46" s="5"/>
    </row>
    <row r="47" ht="39.75" customHeight="1">
      <c r="A47" s="7"/>
      <c r="B47" s="7"/>
      <c r="C47" s="7"/>
      <c r="D47" s="7"/>
      <c r="E47" s="7"/>
      <c r="F47" s="7"/>
      <c r="G47" s="7"/>
      <c r="H47" s="7"/>
    </row>
    <row r="48" ht="39.75" customHeight="1">
      <c r="A48" s="2" t="s">
        <v>7</v>
      </c>
      <c r="B48" s="3" t="s">
        <v>88</v>
      </c>
      <c r="C48" s="3" t="s">
        <v>89</v>
      </c>
      <c r="D48" s="2" t="str">
        <f>DISPIMG("ID_B1750544A8124D47A6CD25E4E6BA1A8F",1)</f>
        <v>#NAME?</v>
      </c>
      <c r="E48" s="2"/>
      <c r="F48" s="2"/>
      <c r="G48" s="4"/>
      <c r="H48" s="4"/>
    </row>
    <row r="49" ht="39.75" customHeight="1">
      <c r="A49" s="5" t="s">
        <v>10</v>
      </c>
      <c r="B49" s="6" t="s">
        <v>90</v>
      </c>
      <c r="C49" s="6" t="s">
        <v>91</v>
      </c>
      <c r="D49" s="5" t="str">
        <f>DISPIMG("ID_C865B4BE197E45C2803AB7B600302492",1)</f>
        <v>#NAME?</v>
      </c>
      <c r="E49" s="6" t="s">
        <v>88</v>
      </c>
      <c r="F49" s="5">
        <v>500.0</v>
      </c>
      <c r="G49" s="6" t="s">
        <v>16</v>
      </c>
      <c r="H49" s="5"/>
    </row>
    <row r="50" ht="39.75" customHeight="1">
      <c r="A50" s="5" t="s">
        <v>10</v>
      </c>
      <c r="B50" s="6" t="s">
        <v>27</v>
      </c>
      <c r="C50" s="6" t="s">
        <v>92</v>
      </c>
      <c r="D50" s="5" t="str">
        <f>DISPIMG("ID_C0B4457DED6348CC9AA2C34491350639",1)</f>
        <v>#NAME?</v>
      </c>
      <c r="E50" s="6" t="s">
        <v>88</v>
      </c>
      <c r="F50" s="5">
        <v>250.0</v>
      </c>
      <c r="G50" s="6" t="s">
        <v>24</v>
      </c>
      <c r="H50" s="5"/>
    </row>
    <row r="51" ht="39.75" customHeight="1">
      <c r="A51" s="7"/>
      <c r="B51" s="7"/>
      <c r="C51" s="7"/>
      <c r="D51" s="7"/>
      <c r="E51" s="7"/>
      <c r="F51" s="7"/>
      <c r="G51" s="7"/>
      <c r="H51" s="7"/>
    </row>
    <row r="52" ht="39.75" customHeight="1">
      <c r="A52" s="2" t="s">
        <v>7</v>
      </c>
      <c r="B52" s="3" t="s">
        <v>93</v>
      </c>
      <c r="C52" s="3" t="s">
        <v>94</v>
      </c>
      <c r="D52" s="2" t="str">
        <f>DISPIMG("ID_7407FC18B44E4BDD96F163D8B1C57A97",1)</f>
        <v>#NAME?</v>
      </c>
      <c r="E52" s="2"/>
      <c r="F52" s="2"/>
      <c r="G52" s="4"/>
      <c r="H52" s="4"/>
    </row>
    <row r="53" ht="39.75" customHeight="1">
      <c r="A53" s="5" t="s">
        <v>10</v>
      </c>
      <c r="B53" s="6" t="s">
        <v>95</v>
      </c>
      <c r="C53" s="6" t="s">
        <v>96</v>
      </c>
      <c r="D53" s="5" t="str">
        <f>DISPIMG("ID_AD39C1943D1F430591DBC4794021ED79",1)</f>
        <v>#NAME?</v>
      </c>
      <c r="E53" s="6" t="s">
        <v>97</v>
      </c>
      <c r="F53" s="5">
        <v>90.0</v>
      </c>
      <c r="G53" s="6" t="s">
        <v>21</v>
      </c>
      <c r="H53" s="5"/>
    </row>
    <row r="54" ht="39.75" customHeight="1">
      <c r="A54" s="5" t="s">
        <v>10</v>
      </c>
      <c r="B54" s="6" t="s">
        <v>52</v>
      </c>
      <c r="C54" s="6" t="s">
        <v>98</v>
      </c>
      <c r="D54" s="5" t="str">
        <f>DISPIMG("ID_EB9BD0D70ECB4576BB31D3BF7068F479",1)</f>
        <v>#NAME?</v>
      </c>
      <c r="E54" s="6" t="s">
        <v>97</v>
      </c>
      <c r="F54" s="5">
        <v>1000.0</v>
      </c>
      <c r="G54" s="6" t="s">
        <v>36</v>
      </c>
      <c r="H54" s="5"/>
    </row>
    <row r="55" ht="39.75" customHeight="1">
      <c r="A55" s="7"/>
      <c r="B55" s="7"/>
      <c r="C55" s="7"/>
      <c r="D55" s="7"/>
      <c r="E55" s="7"/>
      <c r="F55" s="7"/>
      <c r="G55" s="7"/>
      <c r="H55" s="7"/>
    </row>
    <row r="56" ht="39.75" customHeight="1">
      <c r="A56" s="8"/>
      <c r="B56" s="8"/>
      <c r="C56" s="8"/>
      <c r="D56" s="8"/>
      <c r="E56" s="8"/>
      <c r="F56" s="8"/>
      <c r="G56" s="8"/>
      <c r="H56" s="8"/>
      <c r="I56" s="9"/>
      <c r="J56" s="9"/>
      <c r="K56" s="9"/>
      <c r="L56" s="9"/>
      <c r="M56" s="9"/>
      <c r="N56" s="9"/>
      <c r="O56" s="9"/>
      <c r="P56" s="9"/>
      <c r="Q56" s="9"/>
      <c r="R56" s="9"/>
      <c r="S56" s="9"/>
      <c r="T56" s="9"/>
      <c r="U56" s="9"/>
      <c r="V56" s="9"/>
      <c r="W56" s="9"/>
      <c r="X56" s="9"/>
      <c r="Y56" s="9"/>
      <c r="Z56" s="9"/>
    </row>
    <row r="57" ht="39.75" customHeight="1">
      <c r="A57" s="8"/>
      <c r="B57" s="8"/>
      <c r="C57" s="8"/>
      <c r="D57" s="8"/>
      <c r="E57" s="8"/>
      <c r="F57" s="8"/>
      <c r="G57" s="8"/>
      <c r="H57" s="8"/>
      <c r="I57" s="9"/>
      <c r="J57" s="9"/>
      <c r="K57" s="9"/>
      <c r="L57" s="9"/>
      <c r="M57" s="9"/>
      <c r="N57" s="9"/>
      <c r="O57" s="9"/>
      <c r="P57" s="9"/>
      <c r="Q57" s="9"/>
      <c r="R57" s="9"/>
      <c r="S57" s="9"/>
      <c r="T57" s="9"/>
      <c r="U57" s="9"/>
      <c r="V57" s="9"/>
      <c r="W57" s="9"/>
      <c r="X57" s="9"/>
      <c r="Y57" s="9"/>
      <c r="Z57" s="9"/>
    </row>
    <row r="58" ht="39.75" customHeight="1">
      <c r="A58" s="7"/>
      <c r="B58" s="7"/>
      <c r="C58" s="7"/>
      <c r="D58" s="7"/>
      <c r="E58" s="7"/>
      <c r="F58" s="7"/>
      <c r="G58" s="7"/>
      <c r="H58" s="7"/>
    </row>
    <row r="59" ht="39.75" customHeight="1">
      <c r="A59" s="10" t="s">
        <v>99</v>
      </c>
      <c r="B59" s="11" t="s">
        <v>100</v>
      </c>
      <c r="C59" s="11" t="s">
        <v>101</v>
      </c>
      <c r="D59" s="10" t="str">
        <f>DISPIMG("ID_E629352C3A9B465884997DE0860F481E",1)</f>
        <v>#NAME?</v>
      </c>
      <c r="E59" s="10"/>
      <c r="F59" s="10"/>
      <c r="G59" s="10"/>
      <c r="H59" s="10"/>
    </row>
    <row r="60" ht="39.75" customHeight="1">
      <c r="A60" s="12" t="s">
        <v>10</v>
      </c>
      <c r="B60" s="13" t="s">
        <v>19</v>
      </c>
      <c r="C60" s="13" t="s">
        <v>102</v>
      </c>
      <c r="D60" s="12" t="str">
        <f>DISPIMG("ID_72DC50A6CE34458E8DCE03E6F3E19DA6",1)</f>
        <v>#NAME?</v>
      </c>
      <c r="E60" s="13" t="s">
        <v>100</v>
      </c>
      <c r="F60" s="12">
        <v>1000.0</v>
      </c>
      <c r="G60" s="6" t="s">
        <v>21</v>
      </c>
      <c r="H60" s="5"/>
    </row>
    <row r="61" ht="39.75" customHeight="1">
      <c r="A61" s="12" t="s">
        <v>10</v>
      </c>
      <c r="B61" s="13" t="s">
        <v>103</v>
      </c>
      <c r="C61" s="13" t="s">
        <v>104</v>
      </c>
      <c r="D61" s="12" t="str">
        <f>DISPIMG("ID_BA39A59AE7CD497C8CEA1C0F5BF7950F",1)</f>
        <v>#NAME?</v>
      </c>
      <c r="E61" s="13" t="s">
        <v>100</v>
      </c>
      <c r="F61" s="12">
        <v>300.0</v>
      </c>
      <c r="G61" s="6" t="s">
        <v>16</v>
      </c>
      <c r="H61" s="5"/>
    </row>
    <row r="62" ht="39.75" customHeight="1">
      <c r="A62" s="12" t="s">
        <v>10</v>
      </c>
      <c r="B62" s="13" t="s">
        <v>105</v>
      </c>
      <c r="C62" s="13" t="s">
        <v>106</v>
      </c>
      <c r="D62" s="12" t="str">
        <f>DISPIMG("ID_92A36306F54449FAAD0B4726FEFF3272",1)</f>
        <v>#NAME?</v>
      </c>
      <c r="E62" s="13" t="s">
        <v>100</v>
      </c>
      <c r="F62" s="12">
        <v>370.0</v>
      </c>
      <c r="G62" s="6" t="s">
        <v>36</v>
      </c>
      <c r="H62" s="5"/>
    </row>
    <row r="63" ht="39.75" customHeight="1">
      <c r="A63" s="14"/>
      <c r="B63" s="14"/>
      <c r="C63" s="14"/>
      <c r="D63" s="14"/>
      <c r="E63" s="14"/>
      <c r="F63" s="14"/>
      <c r="G63" s="14"/>
      <c r="H63" s="14"/>
    </row>
    <row r="64" ht="39.75" customHeight="1">
      <c r="A64" s="15"/>
      <c r="B64" s="15"/>
      <c r="C64" s="15"/>
      <c r="D64" s="15"/>
      <c r="E64" s="15"/>
      <c r="F64" s="15"/>
      <c r="G64" s="15"/>
      <c r="H64" s="15"/>
      <c r="I64" s="16"/>
      <c r="J64" s="16"/>
      <c r="K64" s="16"/>
      <c r="L64" s="16"/>
      <c r="M64" s="16"/>
      <c r="N64" s="16"/>
      <c r="O64" s="16"/>
      <c r="P64" s="16"/>
      <c r="Q64" s="16"/>
      <c r="R64" s="16"/>
      <c r="S64" s="16"/>
      <c r="T64" s="16"/>
      <c r="U64" s="16"/>
      <c r="V64" s="16"/>
      <c r="W64" s="16"/>
      <c r="X64" s="16"/>
      <c r="Y64" s="16"/>
      <c r="Z64" s="16"/>
    </row>
    <row r="65" ht="39.75" customHeight="1">
      <c r="A65" s="10" t="s">
        <v>99</v>
      </c>
      <c r="B65" s="11" t="s">
        <v>107</v>
      </c>
      <c r="C65" s="11" t="s">
        <v>108</v>
      </c>
      <c r="D65" s="10" t="str">
        <f>DISPIMG("ID_C215D9CCB12E43178C6C9D6A7B5A4633",1)</f>
        <v>#NAME?</v>
      </c>
      <c r="E65" s="10"/>
      <c r="F65" s="10"/>
      <c r="G65" s="10"/>
      <c r="H65" s="10"/>
    </row>
    <row r="66" ht="39.75" customHeight="1">
      <c r="A66" s="12" t="s">
        <v>10</v>
      </c>
      <c r="B66" s="13" t="s">
        <v>109</v>
      </c>
      <c r="C66" s="13" t="s">
        <v>110</v>
      </c>
      <c r="D66" s="12" t="str">
        <f>DISPIMG("ID_48389E3964ED4AFFB0E431888A1A1149",1)</f>
        <v>#NAME?</v>
      </c>
      <c r="E66" s="13" t="s">
        <v>107</v>
      </c>
      <c r="F66" s="12">
        <v>200.0</v>
      </c>
      <c r="G66" s="6" t="s">
        <v>16</v>
      </c>
      <c r="H66" s="5"/>
    </row>
    <row r="67" ht="39.75" customHeight="1">
      <c r="A67" s="12" t="s">
        <v>10</v>
      </c>
      <c r="B67" s="13" t="s">
        <v>27</v>
      </c>
      <c r="C67" s="13" t="s">
        <v>111</v>
      </c>
      <c r="D67" s="12" t="str">
        <f>DISPIMG("ID_D4589C0139F1430E9D7DCF8A656629C4",1)</f>
        <v>#NAME?</v>
      </c>
      <c r="E67" s="13" t="s">
        <v>107</v>
      </c>
      <c r="F67" s="12">
        <v>450.0</v>
      </c>
      <c r="G67" s="6" t="s">
        <v>24</v>
      </c>
      <c r="H67" s="5"/>
    </row>
    <row r="68" ht="39.75" customHeight="1">
      <c r="A68" s="12" t="s">
        <v>10</v>
      </c>
      <c r="B68" s="13" t="s">
        <v>22</v>
      </c>
      <c r="C68" s="13" t="s">
        <v>112</v>
      </c>
      <c r="D68" s="12" t="str">
        <f>DISPIMG("ID_012EAB94B1E54B4081CC3AFF0EFF8BEE",1)</f>
        <v>#NAME?</v>
      </c>
      <c r="E68" s="13" t="s">
        <v>107</v>
      </c>
      <c r="F68" s="12">
        <v>100.0</v>
      </c>
      <c r="G68" s="6" t="s">
        <v>24</v>
      </c>
      <c r="H68" s="5"/>
    </row>
    <row r="69" ht="39.75" customHeight="1">
      <c r="A69" s="10"/>
      <c r="B69" s="10"/>
      <c r="C69" s="10"/>
      <c r="D69" s="10"/>
      <c r="E69" s="10"/>
      <c r="F69" s="10"/>
      <c r="G69" s="10"/>
      <c r="H69" s="10"/>
    </row>
    <row r="70" ht="39.75" customHeight="1">
      <c r="A70" s="10"/>
      <c r="B70" s="10"/>
      <c r="C70" s="10"/>
      <c r="D70" s="10"/>
      <c r="E70" s="10"/>
      <c r="F70" s="10"/>
      <c r="G70" s="10"/>
      <c r="H70" s="10"/>
    </row>
    <row r="71" ht="39.75" customHeight="1">
      <c r="A71" s="15"/>
      <c r="B71" s="15"/>
      <c r="C71" s="15"/>
      <c r="D71" s="15"/>
      <c r="E71" s="15"/>
      <c r="F71" s="15"/>
      <c r="G71" s="15"/>
      <c r="H71" s="15"/>
      <c r="I71" s="16"/>
      <c r="J71" s="16"/>
      <c r="K71" s="16"/>
      <c r="L71" s="16"/>
      <c r="M71" s="16"/>
      <c r="N71" s="16"/>
      <c r="O71" s="16"/>
      <c r="P71" s="16"/>
      <c r="Q71" s="16"/>
      <c r="R71" s="16"/>
      <c r="S71" s="16"/>
      <c r="T71" s="16"/>
      <c r="U71" s="16"/>
      <c r="V71" s="16"/>
      <c r="W71" s="16"/>
      <c r="X71" s="16"/>
      <c r="Y71" s="16"/>
      <c r="Z71" s="16"/>
    </row>
    <row r="72" ht="39.75" customHeight="1">
      <c r="A72" s="10" t="s">
        <v>99</v>
      </c>
      <c r="B72" s="11" t="s">
        <v>113</v>
      </c>
      <c r="C72" s="11" t="s">
        <v>114</v>
      </c>
      <c r="D72" s="10" t="str">
        <f>DISPIMG("ID_32AD6522012E49739926425BD4BCD4D1",1)</f>
        <v>#NAME?</v>
      </c>
      <c r="E72" s="10"/>
      <c r="F72" s="10"/>
      <c r="G72" s="10"/>
      <c r="H72" s="10"/>
    </row>
    <row r="73" ht="39.75" customHeight="1">
      <c r="A73" s="12" t="s">
        <v>10</v>
      </c>
      <c r="B73" s="13" t="s">
        <v>90</v>
      </c>
      <c r="C73" s="13" t="s">
        <v>115</v>
      </c>
      <c r="D73" s="12" t="str">
        <f>DISPIMG("ID_DDA064C0E203454587E84AE491B41FCF",1)</f>
        <v>#NAME?</v>
      </c>
      <c r="E73" s="13" t="s">
        <v>113</v>
      </c>
      <c r="F73" s="12">
        <v>2.0</v>
      </c>
      <c r="G73" s="6" t="s">
        <v>13</v>
      </c>
      <c r="H73" s="5"/>
    </row>
    <row r="74" ht="39.75" customHeight="1">
      <c r="A74" s="12" t="s">
        <v>10</v>
      </c>
      <c r="B74" s="13" t="s">
        <v>80</v>
      </c>
      <c r="C74" s="13" t="s">
        <v>116</v>
      </c>
      <c r="D74" s="12" t="str">
        <f>DISPIMG("ID_DF11BFAEEC224AD882A66A117C0C18BB",1)</f>
        <v>#NAME?</v>
      </c>
      <c r="E74" s="13" t="s">
        <v>113</v>
      </c>
      <c r="F74" s="12">
        <v>600.0</v>
      </c>
      <c r="G74" s="6" t="s">
        <v>16</v>
      </c>
      <c r="H74" s="5"/>
    </row>
    <row r="75" ht="39.75" customHeight="1">
      <c r="A75" s="10"/>
      <c r="B75" s="10"/>
      <c r="C75" s="10"/>
      <c r="D75" s="10"/>
      <c r="E75" s="10"/>
      <c r="F75" s="10"/>
      <c r="G75" s="10"/>
      <c r="H75" s="10"/>
    </row>
    <row r="76" ht="39.75" customHeight="1">
      <c r="A76" s="10"/>
      <c r="B76" s="10"/>
      <c r="C76" s="10"/>
      <c r="D76" s="10"/>
      <c r="E76" s="10"/>
      <c r="F76" s="10"/>
      <c r="G76" s="10"/>
      <c r="H76" s="10"/>
    </row>
    <row r="77" ht="39.75" customHeight="1">
      <c r="A77" s="15"/>
      <c r="B77" s="15"/>
      <c r="C77" s="15"/>
      <c r="D77" s="15"/>
      <c r="E77" s="15"/>
      <c r="F77" s="15"/>
      <c r="G77" s="15"/>
      <c r="H77" s="15"/>
      <c r="I77" s="16"/>
      <c r="J77" s="16"/>
      <c r="K77" s="16"/>
      <c r="L77" s="16"/>
      <c r="M77" s="16"/>
      <c r="N77" s="16"/>
      <c r="O77" s="16"/>
      <c r="P77" s="16"/>
      <c r="Q77" s="16"/>
      <c r="R77" s="16"/>
      <c r="S77" s="16"/>
      <c r="T77" s="16"/>
      <c r="U77" s="16"/>
      <c r="V77" s="16"/>
      <c r="W77" s="16"/>
      <c r="X77" s="16"/>
      <c r="Y77" s="16"/>
      <c r="Z77" s="16"/>
    </row>
    <row r="78" ht="39.75" customHeight="1">
      <c r="A78" s="10" t="s">
        <v>99</v>
      </c>
      <c r="B78" s="11" t="s">
        <v>117</v>
      </c>
      <c r="C78" s="11" t="s">
        <v>118</v>
      </c>
      <c r="D78" s="10" t="str">
        <f>DISPIMG("ID_014349C801134134869A94ACCE9F4F50",1)</f>
        <v>#NAME?</v>
      </c>
      <c r="E78" s="10"/>
      <c r="F78" s="10"/>
      <c r="G78" s="10"/>
      <c r="H78" s="10"/>
    </row>
    <row r="79" ht="39.75" customHeight="1">
      <c r="A79" s="12" t="s">
        <v>10</v>
      </c>
      <c r="B79" s="13" t="s">
        <v>29</v>
      </c>
      <c r="C79" s="13" t="s">
        <v>119</v>
      </c>
      <c r="D79" s="12" t="str">
        <f>DISPIMG("ID_06DB1C26DE5146E9B826C55D218CA0C6",1)</f>
        <v>#NAME?</v>
      </c>
      <c r="E79" s="13" t="s">
        <v>117</v>
      </c>
      <c r="F79" s="12">
        <v>50.0</v>
      </c>
      <c r="G79" s="6" t="s">
        <v>31</v>
      </c>
      <c r="H79" s="5"/>
    </row>
    <row r="80" ht="39.75" customHeight="1">
      <c r="A80" s="12" t="s">
        <v>10</v>
      </c>
      <c r="B80" s="13" t="s">
        <v>84</v>
      </c>
      <c r="C80" s="13" t="s">
        <v>120</v>
      </c>
      <c r="D80" s="12" t="str">
        <f>DISPIMG("ID_1F31CE69AB05419D9D070063D765560D",1)</f>
        <v>#NAME?</v>
      </c>
      <c r="E80" s="13" t="s">
        <v>117</v>
      </c>
      <c r="F80" s="12">
        <v>30.0</v>
      </c>
      <c r="G80" s="6" t="s">
        <v>46</v>
      </c>
      <c r="H80" s="5"/>
    </row>
    <row r="81" ht="39.75" customHeight="1">
      <c r="A81" s="10"/>
      <c r="B81" s="10"/>
      <c r="C81" s="10"/>
      <c r="D81" s="10"/>
      <c r="E81" s="10"/>
      <c r="F81" s="10"/>
      <c r="G81" s="10"/>
      <c r="H81" s="10"/>
    </row>
    <row r="82" ht="39.75" customHeight="1">
      <c r="A82" s="10"/>
      <c r="B82" s="10"/>
      <c r="C82" s="10"/>
      <c r="D82" s="10"/>
      <c r="E82" s="10"/>
      <c r="F82" s="10"/>
      <c r="G82" s="10"/>
      <c r="H82" s="10"/>
    </row>
    <row r="83" ht="39.75" customHeight="1">
      <c r="A83" s="15"/>
      <c r="B83" s="15"/>
      <c r="C83" s="15"/>
      <c r="D83" s="15"/>
      <c r="E83" s="15"/>
      <c r="F83" s="15"/>
      <c r="G83" s="15"/>
      <c r="H83" s="15"/>
      <c r="I83" s="16"/>
      <c r="J83" s="16"/>
      <c r="K83" s="16"/>
      <c r="L83" s="16"/>
      <c r="M83" s="16"/>
      <c r="N83" s="16"/>
      <c r="O83" s="16"/>
      <c r="P83" s="16"/>
      <c r="Q83" s="16"/>
      <c r="R83" s="16"/>
      <c r="S83" s="16"/>
      <c r="T83" s="16"/>
      <c r="U83" s="16"/>
      <c r="V83" s="16"/>
      <c r="W83" s="16"/>
      <c r="X83" s="16"/>
      <c r="Y83" s="16"/>
      <c r="Z83" s="16"/>
    </row>
    <row r="84" ht="39.75" customHeight="1">
      <c r="A84" s="10" t="s">
        <v>99</v>
      </c>
      <c r="B84" s="11" t="s">
        <v>121</v>
      </c>
      <c r="C84" s="11" t="s">
        <v>122</v>
      </c>
      <c r="D84" s="10" t="str">
        <f>DISPIMG("ID_43D14A61EF2744CA9913812DA24CAE6C",1)</f>
        <v>#NAME?</v>
      </c>
      <c r="E84" s="10"/>
      <c r="F84" s="10"/>
      <c r="G84" s="10"/>
      <c r="H84" s="10"/>
    </row>
    <row r="85" ht="39.75" customHeight="1">
      <c r="A85" s="12" t="s">
        <v>10</v>
      </c>
      <c r="B85" s="13" t="s">
        <v>90</v>
      </c>
      <c r="C85" s="13" t="s">
        <v>115</v>
      </c>
      <c r="D85" s="12" t="str">
        <f>DISPIMG("ID_CB48042D8E264DF39090D8597BDBBE4C",1)</f>
        <v>#NAME?</v>
      </c>
      <c r="E85" s="13" t="s">
        <v>121</v>
      </c>
      <c r="F85" s="12">
        <v>50.0</v>
      </c>
      <c r="G85" s="6" t="s">
        <v>16</v>
      </c>
      <c r="H85" s="5"/>
    </row>
    <row r="86" ht="39.75" customHeight="1">
      <c r="A86" s="12" t="s">
        <v>10</v>
      </c>
      <c r="B86" s="13" t="s">
        <v>123</v>
      </c>
      <c r="C86" s="13" t="s">
        <v>124</v>
      </c>
      <c r="D86" s="12" t="str">
        <f>DISPIMG("ID_B551096072E7400C9AFEEBA20D318A36",1)</f>
        <v>#NAME?</v>
      </c>
      <c r="E86" s="13" t="s">
        <v>121</v>
      </c>
      <c r="F86" s="12">
        <v>30.0</v>
      </c>
      <c r="G86" s="6" t="s">
        <v>46</v>
      </c>
      <c r="H86" s="5"/>
    </row>
    <row r="87" ht="39.75" customHeight="1">
      <c r="A87" s="10"/>
      <c r="B87" s="10"/>
      <c r="C87" s="10"/>
      <c r="D87" s="10"/>
      <c r="E87" s="10"/>
      <c r="F87" s="10"/>
      <c r="G87" s="10"/>
      <c r="H87" s="10"/>
    </row>
    <row r="88" ht="39.75" customHeight="1">
      <c r="A88" s="10"/>
      <c r="B88" s="10"/>
      <c r="C88" s="10"/>
      <c r="D88" s="10"/>
      <c r="E88" s="10"/>
      <c r="F88" s="10"/>
      <c r="G88" s="10"/>
      <c r="H88" s="10"/>
    </row>
    <row r="89" ht="39.75" customHeight="1">
      <c r="A89" s="15"/>
      <c r="B89" s="15"/>
      <c r="C89" s="15"/>
      <c r="D89" s="15"/>
      <c r="E89" s="15"/>
      <c r="F89" s="15"/>
      <c r="G89" s="15"/>
      <c r="H89" s="15"/>
      <c r="I89" s="16"/>
      <c r="J89" s="16"/>
      <c r="K89" s="16"/>
      <c r="L89" s="16"/>
      <c r="M89" s="16"/>
      <c r="N89" s="16"/>
      <c r="O89" s="16"/>
      <c r="P89" s="16"/>
      <c r="Q89" s="16"/>
      <c r="R89" s="16"/>
      <c r="S89" s="16"/>
      <c r="T89" s="16"/>
      <c r="U89" s="16"/>
      <c r="V89" s="16"/>
      <c r="W89" s="16"/>
      <c r="X89" s="16"/>
      <c r="Y89" s="16"/>
      <c r="Z89" s="16"/>
    </row>
    <row r="90" ht="39.75" customHeight="1">
      <c r="A90" s="10" t="s">
        <v>99</v>
      </c>
      <c r="B90" s="11" t="s">
        <v>125</v>
      </c>
      <c r="C90" s="11" t="s">
        <v>126</v>
      </c>
      <c r="D90" s="10" t="str">
        <f>DISPIMG("ID_29E0462F4C5C4363996DBEAAD0E24B4E",1)</f>
        <v>#NAME?</v>
      </c>
      <c r="E90" s="10"/>
      <c r="F90" s="10"/>
      <c r="G90" s="10"/>
      <c r="H90" s="10"/>
    </row>
    <row r="91" ht="39.75" customHeight="1">
      <c r="A91" s="12" t="s">
        <v>10</v>
      </c>
      <c r="B91" s="13" t="s">
        <v>52</v>
      </c>
      <c r="C91" s="13" t="s">
        <v>127</v>
      </c>
      <c r="D91" s="12" t="str">
        <f>DISPIMG("ID_4F21B96C403B47D2AE2BD81EC640A5A1",1)</f>
        <v>#NAME?</v>
      </c>
      <c r="E91" s="13" t="s">
        <v>128</v>
      </c>
      <c r="F91" s="12">
        <v>1000.0</v>
      </c>
      <c r="G91" s="6" t="s">
        <v>36</v>
      </c>
      <c r="H91" s="5"/>
    </row>
    <row r="92" ht="39.75" customHeight="1">
      <c r="A92" s="12" t="s">
        <v>10</v>
      </c>
      <c r="B92" s="13" t="s">
        <v>37</v>
      </c>
      <c r="C92" s="13" t="s">
        <v>129</v>
      </c>
      <c r="D92" s="12" t="str">
        <f>DISPIMG("ID_7F2DFCFCA32041769F0BC7D4865715F5",1)</f>
        <v>#NAME?</v>
      </c>
      <c r="E92" s="13" t="s">
        <v>128</v>
      </c>
      <c r="F92" s="12">
        <v>20.0</v>
      </c>
      <c r="G92" s="6" t="s">
        <v>16</v>
      </c>
      <c r="H92" s="5"/>
    </row>
    <row r="93" ht="39.75" customHeight="1">
      <c r="A93" s="10"/>
      <c r="B93" s="10"/>
      <c r="C93" s="10"/>
      <c r="D93" s="10"/>
      <c r="E93" s="10"/>
      <c r="F93" s="10"/>
      <c r="G93" s="10"/>
      <c r="H93" s="10"/>
    </row>
    <row r="94" ht="39.75" customHeight="1">
      <c r="A94" s="10"/>
      <c r="B94" s="10"/>
      <c r="C94" s="10"/>
      <c r="D94" s="10"/>
      <c r="E94" s="10"/>
      <c r="F94" s="10"/>
      <c r="G94" s="10"/>
      <c r="H94" s="10"/>
    </row>
    <row r="95" ht="39.75" customHeight="1">
      <c r="A95" s="15"/>
      <c r="B95" s="15"/>
      <c r="C95" s="15"/>
      <c r="D95" s="15"/>
      <c r="E95" s="15"/>
      <c r="F95" s="15"/>
      <c r="G95" s="15"/>
      <c r="H95" s="15"/>
      <c r="I95" s="16"/>
      <c r="J95" s="16"/>
      <c r="K95" s="16"/>
      <c r="L95" s="16"/>
      <c r="M95" s="16"/>
      <c r="N95" s="16"/>
      <c r="O95" s="16"/>
      <c r="P95" s="16"/>
      <c r="Q95" s="16"/>
      <c r="R95" s="16"/>
      <c r="S95" s="16"/>
      <c r="T95" s="16"/>
      <c r="U95" s="16"/>
      <c r="V95" s="16"/>
      <c r="W95" s="16"/>
      <c r="X95" s="16"/>
      <c r="Y95" s="16"/>
      <c r="Z95" s="16"/>
    </row>
    <row r="96" ht="39.75" customHeight="1">
      <c r="A96" s="10" t="s">
        <v>99</v>
      </c>
      <c r="B96" s="11" t="s">
        <v>130</v>
      </c>
      <c r="C96" s="11" t="s">
        <v>131</v>
      </c>
      <c r="D96" s="10" t="str">
        <f>DISPIMG("ID_863DEBAAEA52460EAA2E3EDC3837F19C",1)</f>
        <v>#NAME?</v>
      </c>
      <c r="E96" s="10"/>
      <c r="F96" s="10"/>
      <c r="G96" s="10"/>
      <c r="H96" s="10"/>
    </row>
    <row r="97" ht="39.75" customHeight="1">
      <c r="A97" s="12" t="s">
        <v>10</v>
      </c>
      <c r="B97" s="13" t="s">
        <v>56</v>
      </c>
      <c r="C97" s="13" t="s">
        <v>132</v>
      </c>
      <c r="D97" s="12" t="str">
        <f>DISPIMG("ID_1CFBFDB7AC5C48C5B44D8BCA72466457",1)</f>
        <v>#NAME?</v>
      </c>
      <c r="E97" s="13" t="s">
        <v>130</v>
      </c>
      <c r="F97" s="12">
        <v>50.0</v>
      </c>
      <c r="G97" s="6" t="s">
        <v>21</v>
      </c>
      <c r="H97" s="5"/>
    </row>
    <row r="98" ht="39.75" customHeight="1">
      <c r="A98" s="12" t="s">
        <v>10</v>
      </c>
      <c r="B98" s="13" t="s">
        <v>19</v>
      </c>
      <c r="C98" s="13" t="s">
        <v>133</v>
      </c>
      <c r="D98" s="12" t="str">
        <f>DISPIMG("ID_E989D49B21944A01BF6971C783AD881F",1)</f>
        <v>#NAME?</v>
      </c>
      <c r="E98" s="13" t="s">
        <v>130</v>
      </c>
      <c r="F98" s="12">
        <v>30.0</v>
      </c>
      <c r="G98" s="6" t="s">
        <v>21</v>
      </c>
      <c r="H98" s="5"/>
    </row>
    <row r="99" ht="39.75" customHeight="1">
      <c r="A99" s="14"/>
      <c r="B99" s="14"/>
      <c r="C99" s="14"/>
      <c r="D99" s="14"/>
      <c r="E99" s="14"/>
      <c r="F99" s="14"/>
      <c r="G99" s="14"/>
      <c r="H99" s="14"/>
    </row>
    <row r="100" ht="39.75" customHeight="1">
      <c r="A100" s="14"/>
      <c r="B100" s="14"/>
      <c r="C100" s="14"/>
      <c r="D100" s="14"/>
      <c r="E100" s="14"/>
      <c r="F100" s="14"/>
      <c r="G100" s="14"/>
      <c r="H100" s="14"/>
    </row>
    <row r="101" ht="39.75" customHeight="1">
      <c r="A101" s="14"/>
      <c r="B101" s="14"/>
      <c r="C101" s="14"/>
      <c r="D101" s="14"/>
      <c r="E101" s="14"/>
      <c r="F101" s="14"/>
      <c r="G101" s="14"/>
      <c r="H101" s="14"/>
    </row>
    <row r="102" ht="14.25" customHeight="1">
      <c r="G102" s="17"/>
    </row>
    <row r="103" ht="14.25" customHeight="1">
      <c r="G103" s="17"/>
    </row>
    <row r="104" ht="14.25" customHeight="1">
      <c r="G104" s="17"/>
    </row>
    <row r="105" ht="14.25" customHeight="1">
      <c r="G105" s="17"/>
    </row>
    <row r="106" ht="14.25" customHeight="1">
      <c r="G106" s="17"/>
    </row>
    <row r="107" ht="14.25" customHeight="1">
      <c r="G107" s="17"/>
    </row>
    <row r="108" ht="14.25" customHeight="1">
      <c r="G108" s="17"/>
    </row>
    <row r="109" ht="14.25" customHeight="1">
      <c r="G109" s="17"/>
    </row>
    <row r="110" ht="14.25" customHeight="1">
      <c r="G110" s="17"/>
    </row>
    <row r="111" ht="14.25" customHeight="1">
      <c r="G111" s="17"/>
    </row>
    <row r="112" ht="14.25" customHeight="1">
      <c r="G112" s="17"/>
    </row>
    <row r="113" ht="14.25" customHeight="1">
      <c r="G113" s="17"/>
    </row>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H$101"/>
  <dataValidations>
    <dataValidation type="list" allowBlank="1" sqref="G2:G62 G64:G98 G102:G113">
      <formula1>"طن,كجم,جرام,لتر,مللتر,عبوه,صندوق,علبه,قطعه"</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2026-05-09T02:59:00Z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C3DEE3DF6390430089DC123CE3D9B8F6_13</vt:lpwstr>
  </property>
  <property fmtid="{D5CDD505-2E9C-101B-9397-08002B2CF9AE}" pid="3" name="KSOProductBuildVer">
    <vt:lpwstr>1033-12.1.0.25242</vt:lpwstr>
  </property>
  <property fmtid="{D5CDD505-2E9C-101B-9397-08002B2CF9AE}" pid="4" name="CalculationRule">
    <vt:i4>0</vt:i4>
  </property>
</Properties>
</file>